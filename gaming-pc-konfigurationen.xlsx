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Konfigurationen" sheetId="1" state="visible" r:id="rId3"/>
    <sheet name="Zusammenfassung" sheetId="2" state="visible" r:id="rId4"/>
    <sheet name="Dubaro-Vergleich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<sst xmlns="http://schemas.openxmlformats.org/spreadsheetml/2006/main" count="248" uniqueCount="75">
  <si>
    <t xml:space="preserve">Stufe</t>
  </si>
  <si>
    <t xml:space="preserve">Gruppe</t>
  </si>
  <si>
    <t xml:space="preserve">Kategorie</t>
  </si>
  <si>
    <t xml:space="preserve">Modell</t>
  </si>
  <si>
    <t xml:space="preserve">Preis (€, Richtwert)</t>
  </si>
  <si>
    <t xml:space="preserve">Geizhals</t>
  </si>
  <si>
    <t xml:space="preserve">idealo</t>
  </si>
  <si>
    <t xml:space="preserve">Einsteiger</t>
  </si>
  <si>
    <t xml:space="preserve">PC</t>
  </si>
  <si>
    <t xml:space="preserve">CPU</t>
  </si>
  <si>
    <t xml:space="preserve">AMD Ryzen 5 9600X</t>
  </si>
  <si>
    <t xml:space="preserve">GPU</t>
  </si>
  <si>
    <t xml:space="preserve">Sapphire Pulse Radeon RX 9060 XT 16GB</t>
  </si>
  <si>
    <t xml:space="preserve">Mainboard</t>
  </si>
  <si>
    <t xml:space="preserve">MSI PRO B650-S WIFI</t>
  </si>
  <si>
    <t xml:space="preserve">RAM</t>
  </si>
  <si>
    <t xml:space="preserve">Kingston Fury Beast DDR5-6000 CL30 32GB Kit</t>
  </si>
  <si>
    <t xml:space="preserve">SSD</t>
  </si>
  <si>
    <t xml:space="preserve">Crucial P3 Plus 1TB</t>
  </si>
  <si>
    <t xml:space="preserve">Netzteil</t>
  </si>
  <si>
    <t xml:space="preserve">be quiet! Pure Power 12 M 650W</t>
  </si>
  <si>
    <t xml:space="preserve">Kühler</t>
  </si>
  <si>
    <t xml:space="preserve">Thermalright Peerless Assassin 120 SE</t>
  </si>
  <si>
    <t xml:space="preserve">Gehäuse</t>
  </si>
  <si>
    <t xml:space="preserve">Fractal Design Pop Air</t>
  </si>
  <si>
    <t xml:space="preserve">Peripherie</t>
  </si>
  <si>
    <t xml:space="preserve">Monitor</t>
  </si>
  <si>
    <t xml:space="preserve">AOC 24G2SPAE</t>
  </si>
  <si>
    <t xml:space="preserve">Maus</t>
  </si>
  <si>
    <t xml:space="preserve">Logitech G203</t>
  </si>
  <si>
    <t xml:space="preserve">Tastatur</t>
  </si>
  <si>
    <t xml:space="preserve">Redragon K552 Kumara</t>
  </si>
  <si>
    <t xml:space="preserve">Headset</t>
  </si>
  <si>
    <t xml:space="preserve">HyperX Cloud Stinger 2</t>
  </si>
  <si>
    <t xml:space="preserve">Mittelklasse</t>
  </si>
  <si>
    <t xml:space="preserve">AMD Ryzen 7 9800X3D</t>
  </si>
  <si>
    <t xml:space="preserve">Sapphire Pulse Radeon RX 9070 XT</t>
  </si>
  <si>
    <t xml:space="preserve">MSI MAG B850 Tomahawk WIFI</t>
  </si>
  <si>
    <t xml:space="preserve">WD Black SN850X 2TB</t>
  </si>
  <si>
    <t xml:space="preserve">be quiet! Pure Power 12 M 750W</t>
  </si>
  <si>
    <t xml:space="preserve">Thermalright Phantom Spirit 120 SE</t>
  </si>
  <si>
    <t xml:space="preserve">Lian Li Lancool 216</t>
  </si>
  <si>
    <t xml:space="preserve">LG UltraGear 27GS75Q</t>
  </si>
  <si>
    <t xml:space="preserve">Logitech G502 X</t>
  </si>
  <si>
    <t xml:space="preserve">Logitech G413 TKL SE</t>
  </si>
  <si>
    <t xml:space="preserve">HyperX Cloud III</t>
  </si>
  <si>
    <t xml:space="preserve">High-End</t>
  </si>
  <si>
    <t xml:space="preserve">GeForce RTX 5080 16GB</t>
  </si>
  <si>
    <t xml:space="preserve">MSI MAG X870E Tomahawk WIFI</t>
  </si>
  <si>
    <t xml:space="preserve">G.Skill Trident Z5 Neo DDR5-6000 CL30 64GB Kit</t>
  </si>
  <si>
    <t xml:space="preserve">Samsung 990 Pro 2TB</t>
  </si>
  <si>
    <t xml:space="preserve">be quiet! Straight Power 12 1000W</t>
  </si>
  <si>
    <t xml:space="preserve">Arctic Liquid Freezer III 360</t>
  </si>
  <si>
    <t xml:space="preserve">Lian Li O11 Dynamic EVO</t>
  </si>
  <si>
    <t xml:space="preserve">ASUS ROG Strix XG27AQDMG</t>
  </si>
  <si>
    <t xml:space="preserve">Logitech G Pro X Superlight 2</t>
  </si>
  <si>
    <t xml:space="preserve">Wooting 60HE</t>
  </si>
  <si>
    <t xml:space="preserve">SteelSeries Arctis Nova 7</t>
  </si>
  <si>
    <t xml:space="preserve">Hinweise:</t>
  </si>
  <si>
    <t xml:space="preserve">Preise (blau) sind Richtwerte Okt 2026 und manuell änderbar; Summen rechnen sich neu.</t>
  </si>
  <si>
    <t xml:space="preserve">Links sind Preisvergleich-Suchlinks, keine festen Produktseiten. Aktuelle Preise dort prüfen.</t>
  </si>
  <si>
    <t xml:space="preserve">Windows-Lizenz (~0–145 €) nicht enthalten.</t>
  </si>
  <si>
    <t xml:space="preserve">PC (€)</t>
  </si>
  <si>
    <t xml:space="preserve">Peripherie (€)</t>
  </si>
  <si>
    <t xml:space="preserve">Gesamt (€)</t>
  </si>
  <si>
    <t xml:space="preserve">Selbstbau PC (€)</t>
  </si>
  <si>
    <t xml:space="preserve">Dubaro Fertig-PC (€)</t>
  </si>
  <si>
    <t xml:space="preserve">Differenz (€)</t>
  </si>
  <si>
    <t xml:space="preserve">Differenz (%)</t>
  </si>
  <si>
    <t xml:space="preserve">Vergleichsmodell / Quelle</t>
  </si>
  <si>
    <t xml:space="preserve">Keine Dubaro-Daten gefunden; im Konfigurator prüfen</t>
  </si>
  <si>
    <t xml:space="preserve">Dubaro 9800X3D + RX 9070 XT + 32 GB; mydealz (Deal abgelaufen Feb 2026, evtl. veraltet)</t>
  </si>
  <si>
    <t xml:space="preserve">Dubaro RTX 5080-Build; PCGH-Forum, undatiert (Selbstbau hier mit 64 GB RAM + 360er AiO)</t>
  </si>
  <si>
    <t xml:space="preserve">Weitere Dubaro-Referenz: RTX 5070 Ti ca. 2.249–2.299 € (PCGH-Forum, undatiert). Positive Differenz = Selbstbau teurer.</t>
  </si>
  <si>
    <t xml:space="preserve">Dubaro-Preise (blau) sind Fundstellen aus Foren/Deals, nicht live geprüft; auf dubaro.de aktualisieren.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</si>
</sst>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&quot; €&quot;;\-#,##0&quot; €&quot;;\-"/>
    <numFmt numFmtId="166" formatCode="0.0%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sz val="11"/>
      <color rgb="FF0000FF"/>
      <name val="Arial"/>
      <family val="0"/>
      <charset val="1"/>
    </font>
    <font>
      <u val="single"/>
      <sz val="11"/>
      <color rgb="FF0563C1"/>
      <name val="Arial"/>
      <family val="0"/>
      <charset val="1"/>
    </font>
    <font>
      <b val="true"/>
      <sz val="1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geizhals.de/?fs=AMD+Ryzen+5+9600X" TargetMode="External"/><Relationship Id="rId2" Type="http://schemas.openxmlformats.org/officeDocument/2006/relationships/hyperlink" Target="https://www.idealo.de/preisvergleich/MainSearchProductCategory.html?q=AMD+Ryzen+5+9600X" TargetMode="External"/><Relationship Id="rId3" Type="http://schemas.openxmlformats.org/officeDocument/2006/relationships/hyperlink" Target="https://geizhals.de/?fs=Sapphire+Pulse+Radeon+RX+9060+XT+16GB" TargetMode="External"/><Relationship Id="rId4" Type="http://schemas.openxmlformats.org/officeDocument/2006/relationships/hyperlink" Target="https://www.idealo.de/preisvergleich/MainSearchProductCategory.html?q=Sapphire+Pulse+Radeon+RX+9060+XT+16GB" TargetMode="External"/><Relationship Id="rId5" Type="http://schemas.openxmlformats.org/officeDocument/2006/relationships/hyperlink" Target="https://geizhals.de/?fs=MSI+PRO+B650-S+WIFI" TargetMode="External"/><Relationship Id="rId6" Type="http://schemas.openxmlformats.org/officeDocument/2006/relationships/hyperlink" Target="https://www.idealo.de/preisvergleich/MainSearchProductCategory.html?q=MSI+PRO+B650-S+WIFI" TargetMode="External"/><Relationship Id="rId7" Type="http://schemas.openxmlformats.org/officeDocument/2006/relationships/hyperlink" Target="https://geizhals.de/?fs=Kingston+Fury+Beast+DDR5-6000+CL30+32GB+Kit" TargetMode="External"/><Relationship Id="rId8" Type="http://schemas.openxmlformats.org/officeDocument/2006/relationships/hyperlink" Target="https://www.idealo.de/preisvergleich/MainSearchProductCategory.html?q=Kingston+Fury+Beast+DDR5-6000+CL30+32GB+Kit" TargetMode="External"/><Relationship Id="rId9" Type="http://schemas.openxmlformats.org/officeDocument/2006/relationships/hyperlink" Target="https://geizhals.de/?fs=Crucial+P3+Plus+1TB" TargetMode="External"/><Relationship Id="rId10" Type="http://schemas.openxmlformats.org/officeDocument/2006/relationships/hyperlink" Target="https://www.idealo.de/preisvergleich/MainSearchProductCategory.html?q=Crucial+P3+Plus+1TB" TargetMode="External"/><Relationship Id="rId11" Type="http://schemas.openxmlformats.org/officeDocument/2006/relationships/hyperlink" Target="https://geizhals.de/?fs=be+quiet%21+Pure+Power+12+M+650W" TargetMode="External"/><Relationship Id="rId12" Type="http://schemas.openxmlformats.org/officeDocument/2006/relationships/hyperlink" Target="https://www.idealo.de/preisvergleich/MainSearchProductCategory.html?q=be+quiet%21+Pure+Power+12+M+650W" TargetMode="External"/><Relationship Id="rId13" Type="http://schemas.openxmlformats.org/officeDocument/2006/relationships/hyperlink" Target="https://geizhals.de/?fs=Thermalright+Peerless+Assassin+120+SE" TargetMode="External"/><Relationship Id="rId14" Type="http://schemas.openxmlformats.org/officeDocument/2006/relationships/hyperlink" Target="https://www.idealo.de/preisvergleich/MainSearchProductCategory.html?q=Thermalright+Peerless+Assassin+120+SE" TargetMode="External"/><Relationship Id="rId15" Type="http://schemas.openxmlformats.org/officeDocument/2006/relationships/hyperlink" Target="https://geizhals.de/?fs=Fractal+Design+Pop+Air" TargetMode="External"/><Relationship Id="rId16" Type="http://schemas.openxmlformats.org/officeDocument/2006/relationships/hyperlink" Target="https://www.idealo.de/preisvergleich/MainSearchProductCategory.html?q=Fractal+Design+Pop+Air" TargetMode="External"/><Relationship Id="rId17" Type="http://schemas.openxmlformats.org/officeDocument/2006/relationships/hyperlink" Target="https://geizhals.de/?fs=AOC+24G2SPAE" TargetMode="External"/><Relationship Id="rId18" Type="http://schemas.openxmlformats.org/officeDocument/2006/relationships/hyperlink" Target="https://www.idealo.de/preisvergleich/MainSearchProductCategory.html?q=AOC+24G2SPAE" TargetMode="External"/><Relationship Id="rId19" Type="http://schemas.openxmlformats.org/officeDocument/2006/relationships/hyperlink" Target="https://geizhals.de/?fs=Logitech+G203" TargetMode="External"/><Relationship Id="rId20" Type="http://schemas.openxmlformats.org/officeDocument/2006/relationships/hyperlink" Target="https://www.idealo.de/preisvergleich/MainSearchProductCategory.html?q=Logitech+G203" TargetMode="External"/><Relationship Id="rId21" Type="http://schemas.openxmlformats.org/officeDocument/2006/relationships/hyperlink" Target="https://geizhals.de/?fs=Redragon+K552+Kumara" TargetMode="External"/><Relationship Id="rId22" Type="http://schemas.openxmlformats.org/officeDocument/2006/relationships/hyperlink" Target="https://www.idealo.de/preisvergleich/MainSearchProductCategory.html?q=Redragon+K552+Kumara" TargetMode="External"/><Relationship Id="rId23" Type="http://schemas.openxmlformats.org/officeDocument/2006/relationships/hyperlink" Target="https://geizhals.de/?fs=HyperX+Cloud+Stinger+2" TargetMode="External"/><Relationship Id="rId24" Type="http://schemas.openxmlformats.org/officeDocument/2006/relationships/hyperlink" Target="https://www.idealo.de/preisvergleich/MainSearchProductCategory.html?q=HyperX+Cloud+Stinger+2" TargetMode="External"/><Relationship Id="rId25" Type="http://schemas.openxmlformats.org/officeDocument/2006/relationships/hyperlink" Target="https://geizhals.de/?fs=AMD+Ryzen+7+9800X3D" TargetMode="External"/><Relationship Id="rId26" Type="http://schemas.openxmlformats.org/officeDocument/2006/relationships/hyperlink" Target="https://www.idealo.de/preisvergleich/MainSearchProductCategory.html?q=AMD+Ryzen+7+9800X3D" TargetMode="External"/><Relationship Id="rId27" Type="http://schemas.openxmlformats.org/officeDocument/2006/relationships/hyperlink" Target="https://geizhals.de/?fs=Sapphire+Pulse+Radeon+RX+9070+XT" TargetMode="External"/><Relationship Id="rId28" Type="http://schemas.openxmlformats.org/officeDocument/2006/relationships/hyperlink" Target="https://www.idealo.de/preisvergleich/MainSearchProductCategory.html?q=Sapphire+Pulse+Radeon+RX+9070+XT" TargetMode="External"/><Relationship Id="rId29" Type="http://schemas.openxmlformats.org/officeDocument/2006/relationships/hyperlink" Target="https://geizhals.de/?fs=MSI+MAG+B850+Tomahawk+WIFI" TargetMode="External"/><Relationship Id="rId30" Type="http://schemas.openxmlformats.org/officeDocument/2006/relationships/hyperlink" Target="https://www.idealo.de/preisvergleich/MainSearchProductCategory.html?q=MSI+MAG+B850+Tomahawk+WIFI" TargetMode="External"/><Relationship Id="rId31" Type="http://schemas.openxmlformats.org/officeDocument/2006/relationships/hyperlink" Target="https://geizhals.de/?fs=Kingston+Fury+Beast+DDR5-6000+CL30+32GB+Kit" TargetMode="External"/><Relationship Id="rId32" Type="http://schemas.openxmlformats.org/officeDocument/2006/relationships/hyperlink" Target="https://www.idealo.de/preisvergleich/MainSearchProductCategory.html?q=Kingston+Fury+Beast+DDR5-6000+CL30+32GB+Kit" TargetMode="External"/><Relationship Id="rId33" Type="http://schemas.openxmlformats.org/officeDocument/2006/relationships/hyperlink" Target="https://geizhals.de/?fs=WD+Black+SN850X+2TB" TargetMode="External"/><Relationship Id="rId34" Type="http://schemas.openxmlformats.org/officeDocument/2006/relationships/hyperlink" Target="https://www.idealo.de/preisvergleich/MainSearchProductCategory.html?q=WD+Black+SN850X+2TB" TargetMode="External"/><Relationship Id="rId35" Type="http://schemas.openxmlformats.org/officeDocument/2006/relationships/hyperlink" Target="https://geizhals.de/?fs=be+quiet%21+Pure+Power+12+M+750W" TargetMode="External"/><Relationship Id="rId36" Type="http://schemas.openxmlformats.org/officeDocument/2006/relationships/hyperlink" Target="https://www.idealo.de/preisvergleich/MainSearchProductCategory.html?q=be+quiet%21+Pure+Power+12+M+750W" TargetMode="External"/><Relationship Id="rId37" Type="http://schemas.openxmlformats.org/officeDocument/2006/relationships/hyperlink" Target="https://geizhals.de/?fs=Thermalright+Phantom+Spirit+120+SE" TargetMode="External"/><Relationship Id="rId38" Type="http://schemas.openxmlformats.org/officeDocument/2006/relationships/hyperlink" Target="https://www.idealo.de/preisvergleich/MainSearchProductCategory.html?q=Thermalright+Phantom+Spirit+120+SE" TargetMode="External"/><Relationship Id="rId39" Type="http://schemas.openxmlformats.org/officeDocument/2006/relationships/hyperlink" Target="https://geizhals.de/?fs=Lian+Li+Lancool+216" TargetMode="External"/><Relationship Id="rId40" Type="http://schemas.openxmlformats.org/officeDocument/2006/relationships/hyperlink" Target="https://www.idealo.de/preisvergleich/MainSearchProductCategory.html?q=Lian+Li+Lancool+216" TargetMode="External"/><Relationship Id="rId41" Type="http://schemas.openxmlformats.org/officeDocument/2006/relationships/hyperlink" Target="https://geizhals.de/?fs=LG+UltraGear+27GS75Q" TargetMode="External"/><Relationship Id="rId42" Type="http://schemas.openxmlformats.org/officeDocument/2006/relationships/hyperlink" Target="https://www.idealo.de/preisvergleich/MainSearchProductCategory.html?q=LG+UltraGear+27GS75Q" TargetMode="External"/><Relationship Id="rId43" Type="http://schemas.openxmlformats.org/officeDocument/2006/relationships/hyperlink" Target="https://geizhals.de/?fs=Logitech+G502+X" TargetMode="External"/><Relationship Id="rId44" Type="http://schemas.openxmlformats.org/officeDocument/2006/relationships/hyperlink" Target="https://www.idealo.de/preisvergleich/MainSearchProductCategory.html?q=Logitech+G502+X" TargetMode="External"/><Relationship Id="rId45" Type="http://schemas.openxmlformats.org/officeDocument/2006/relationships/hyperlink" Target="https://geizhals.de/?fs=Logitech+G413+TKL+SE" TargetMode="External"/><Relationship Id="rId46" Type="http://schemas.openxmlformats.org/officeDocument/2006/relationships/hyperlink" Target="https://www.idealo.de/preisvergleich/MainSearchProductCategory.html?q=Logitech+G413+TKL+SE" TargetMode="External"/><Relationship Id="rId47" Type="http://schemas.openxmlformats.org/officeDocument/2006/relationships/hyperlink" Target="https://geizhals.de/?fs=HyperX+Cloud+III" TargetMode="External"/><Relationship Id="rId48" Type="http://schemas.openxmlformats.org/officeDocument/2006/relationships/hyperlink" Target="https://www.idealo.de/preisvergleich/MainSearchProductCategory.html?q=HyperX+Cloud+III" TargetMode="External"/><Relationship Id="rId49" Type="http://schemas.openxmlformats.org/officeDocument/2006/relationships/hyperlink" Target="https://geizhals.de/?fs=AMD+Ryzen+7+9800X3D" TargetMode="External"/><Relationship Id="rId50" Type="http://schemas.openxmlformats.org/officeDocument/2006/relationships/hyperlink" Target="https://www.idealo.de/preisvergleich/MainSearchProductCategory.html?q=AMD+Ryzen+7+9800X3D" TargetMode="External"/><Relationship Id="rId51" Type="http://schemas.openxmlformats.org/officeDocument/2006/relationships/hyperlink" Target="https://geizhals.de/?fs=GeForce+RTX+5080+16GB" TargetMode="External"/><Relationship Id="rId52" Type="http://schemas.openxmlformats.org/officeDocument/2006/relationships/hyperlink" Target="https://www.idealo.de/preisvergleich/MainSearchProductCategory.html?q=GeForce+RTX+5080+16GB" TargetMode="External"/><Relationship Id="rId53" Type="http://schemas.openxmlformats.org/officeDocument/2006/relationships/hyperlink" Target="https://geizhals.de/?fs=MSI+MAG+X870E+Tomahawk+WIFI" TargetMode="External"/><Relationship Id="rId54" Type="http://schemas.openxmlformats.org/officeDocument/2006/relationships/hyperlink" Target="https://www.idealo.de/preisvergleich/MainSearchProductCategory.html?q=MSI+MAG+X870E+Tomahawk+WIFI" TargetMode="External"/><Relationship Id="rId55" Type="http://schemas.openxmlformats.org/officeDocument/2006/relationships/hyperlink" Target="https://geizhals.de/?fs=G.Skill+Trident+Z5+Neo+DDR5-6000+CL30+64GB+Kit" TargetMode="External"/><Relationship Id="rId56" Type="http://schemas.openxmlformats.org/officeDocument/2006/relationships/hyperlink" Target="https://www.idealo.de/preisvergleich/MainSearchProductCategory.html?q=G.Skill+Trident+Z5+Neo+DDR5-6000+CL30+64GB+Kit" TargetMode="External"/><Relationship Id="rId57" Type="http://schemas.openxmlformats.org/officeDocument/2006/relationships/hyperlink" Target="https://geizhals.de/?fs=Samsung+990+Pro+2TB" TargetMode="External"/><Relationship Id="rId58" Type="http://schemas.openxmlformats.org/officeDocument/2006/relationships/hyperlink" Target="https://www.idealo.de/preisvergleich/MainSearchProductCategory.html?q=Samsung+990+Pro+2TB" TargetMode="External"/><Relationship Id="rId59" Type="http://schemas.openxmlformats.org/officeDocument/2006/relationships/hyperlink" Target="https://geizhals.de/?fs=be+quiet%21+Straight+Power+12+1000W" TargetMode="External"/><Relationship Id="rId60" Type="http://schemas.openxmlformats.org/officeDocument/2006/relationships/hyperlink" Target="https://www.idealo.de/preisvergleich/MainSearchProductCategory.html?q=be+quiet%21+Straight+Power+12+1000W" TargetMode="External"/><Relationship Id="rId61" Type="http://schemas.openxmlformats.org/officeDocument/2006/relationships/hyperlink" Target="https://geizhals.de/?fs=Arctic+Liquid+Freezer+III+360" TargetMode="External"/><Relationship Id="rId62" Type="http://schemas.openxmlformats.org/officeDocument/2006/relationships/hyperlink" Target="https://www.idealo.de/preisvergleich/MainSearchProductCategory.html?q=Arctic+Liquid+Freezer+III+360" TargetMode="External"/><Relationship Id="rId63" Type="http://schemas.openxmlformats.org/officeDocument/2006/relationships/hyperlink" Target="https://geizhals.de/?fs=Lian+Li+O11+Dynamic+EVO" TargetMode="External"/><Relationship Id="rId64" Type="http://schemas.openxmlformats.org/officeDocument/2006/relationships/hyperlink" Target="https://www.idealo.de/preisvergleich/MainSearchProductCategory.html?q=Lian+Li+O11+Dynamic+EVO" TargetMode="External"/><Relationship Id="rId65" Type="http://schemas.openxmlformats.org/officeDocument/2006/relationships/hyperlink" Target="https://geizhals.de/?fs=ASUS+ROG+Strix+XG27AQDMG" TargetMode="External"/><Relationship Id="rId66" Type="http://schemas.openxmlformats.org/officeDocument/2006/relationships/hyperlink" Target="https://www.idealo.de/preisvergleich/MainSearchProductCategory.html?q=ASUS+ROG+Strix+XG27AQDMG" TargetMode="External"/><Relationship Id="rId67" Type="http://schemas.openxmlformats.org/officeDocument/2006/relationships/hyperlink" Target="https://geizhals.de/?fs=Logitech+G+Pro+X+Superlight+2" TargetMode="External"/><Relationship Id="rId68" Type="http://schemas.openxmlformats.org/officeDocument/2006/relationships/hyperlink" Target="https://www.idealo.de/preisvergleich/MainSearchProductCategory.html?q=Logitech+G+Pro+X+Superlight+2" TargetMode="External"/><Relationship Id="rId69" Type="http://schemas.openxmlformats.org/officeDocument/2006/relationships/hyperlink" Target="https://geizhals.de/?fs=Wooting+60HE" TargetMode="External"/><Relationship Id="rId70" Type="http://schemas.openxmlformats.org/officeDocument/2006/relationships/hyperlink" Target="https://www.idealo.de/preisvergleich/MainSearchProductCategory.html?q=Wooting+60HE" TargetMode="External"/><Relationship Id="rId71" Type="http://schemas.openxmlformats.org/officeDocument/2006/relationships/hyperlink" Target="https://geizhals.de/?fs=SteelSeries+Arctis+Nova+7" TargetMode="External"/><Relationship Id="rId72" Type="http://schemas.openxmlformats.org/officeDocument/2006/relationships/hyperlink" Target="https://www.idealo.de/preisvergleich/MainSearchProductCategory.html?q=SteelSeries+Arctis+Nova+7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3" min="2" style="0" width="12"/>
    <col collapsed="false" customWidth="true" hidden="false" outlineLevel="0" max="4" min="4" style="0" width="48"/>
    <col collapsed="false" customWidth="true" hidden="false" outlineLevel="0" max="5" min="5" style="0" width="20"/>
    <col collapsed="false" customWidth="true" hidden="false" outlineLevel="0" max="7" min="6" style="0" width="11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5" hidden="false" customHeight="false" outlineLevel="0" collapsed="false">
      <c r="A2" s="2" t="s">
        <v>7</v>
      </c>
      <c r="B2" s="2" t="s">
        <v>8</v>
      </c>
      <c r="C2" s="2" t="s">
        <v>9</v>
      </c>
      <c r="D2" s="2" t="s">
        <v>10</v>
      </c>
      <c r="E2" s="3" t="n">
        <v>180</v>
      </c>
      <c r="F2" s="4" t="s">
        <v>5</v>
      </c>
      <c r="G2" s="4" t="s">
        <v>6</v>
      </c>
    </row>
    <row r="3" customFormat="false" ht="15" hidden="false" customHeight="false" outlineLevel="0" collapsed="false">
      <c r="A3" s="2" t="s">
        <v>7</v>
      </c>
      <c r="B3" s="2" t="s">
        <v>8</v>
      </c>
      <c r="C3" s="2" t="s">
        <v>11</v>
      </c>
      <c r="D3" s="2" t="s">
        <v>12</v>
      </c>
      <c r="E3" s="3" t="n">
        <v>350</v>
      </c>
      <c r="F3" s="4" t="s">
        <v>5</v>
      </c>
      <c r="G3" s="4" t="s">
        <v>6</v>
      </c>
    </row>
    <row r="4" customFormat="false" ht="15" hidden="false" customHeight="false" outlineLevel="0" collapsed="false">
      <c r="A4" s="2" t="s">
        <v>7</v>
      </c>
      <c r="B4" s="2" t="s">
        <v>8</v>
      </c>
      <c r="C4" s="2" t="s">
        <v>13</v>
      </c>
      <c r="D4" s="2" t="s">
        <v>14</v>
      </c>
      <c r="E4" s="3" t="n">
        <v>110</v>
      </c>
      <c r="F4" s="4" t="s">
        <v>5</v>
      </c>
      <c r="G4" s="4" t="s">
        <v>6</v>
      </c>
    </row>
    <row r="5" customFormat="false" ht="15" hidden="false" customHeight="false" outlineLevel="0" collapsed="false">
      <c r="A5" s="2" t="s">
        <v>7</v>
      </c>
      <c r="B5" s="2" t="s">
        <v>8</v>
      </c>
      <c r="C5" s="2" t="s">
        <v>15</v>
      </c>
      <c r="D5" s="2" t="s">
        <v>16</v>
      </c>
      <c r="E5" s="3" t="n">
        <v>180</v>
      </c>
      <c r="F5" s="4" t="s">
        <v>5</v>
      </c>
      <c r="G5" s="4" t="s">
        <v>6</v>
      </c>
    </row>
    <row r="6" customFormat="false" ht="15" hidden="false" customHeight="false" outlineLevel="0" collapsed="false">
      <c r="A6" s="2" t="s">
        <v>7</v>
      </c>
      <c r="B6" s="2" t="s">
        <v>8</v>
      </c>
      <c r="C6" s="2" t="s">
        <v>17</v>
      </c>
      <c r="D6" s="2" t="s">
        <v>18</v>
      </c>
      <c r="E6" s="3" t="n">
        <v>70</v>
      </c>
      <c r="F6" s="4" t="s">
        <v>5</v>
      </c>
      <c r="G6" s="4" t="s">
        <v>6</v>
      </c>
    </row>
    <row r="7" customFormat="false" ht="15" hidden="false" customHeight="false" outlineLevel="0" collapsed="false">
      <c r="A7" s="2" t="s">
        <v>7</v>
      </c>
      <c r="B7" s="2" t="s">
        <v>8</v>
      </c>
      <c r="C7" s="2" t="s">
        <v>19</v>
      </c>
      <c r="D7" s="2" t="s">
        <v>20</v>
      </c>
      <c r="E7" s="3" t="n">
        <v>70</v>
      </c>
      <c r="F7" s="4" t="s">
        <v>5</v>
      </c>
      <c r="G7" s="4" t="s">
        <v>6</v>
      </c>
    </row>
    <row r="8" customFormat="false" ht="15" hidden="false" customHeight="false" outlineLevel="0" collapsed="false">
      <c r="A8" s="2" t="s">
        <v>7</v>
      </c>
      <c r="B8" s="2" t="s">
        <v>8</v>
      </c>
      <c r="C8" s="2" t="s">
        <v>21</v>
      </c>
      <c r="D8" s="2" t="s">
        <v>22</v>
      </c>
      <c r="E8" s="3" t="n">
        <v>35</v>
      </c>
      <c r="F8" s="4" t="s">
        <v>5</v>
      </c>
      <c r="G8" s="4" t="s">
        <v>6</v>
      </c>
    </row>
    <row r="9" customFormat="false" ht="15" hidden="false" customHeight="false" outlineLevel="0" collapsed="false">
      <c r="A9" s="2" t="s">
        <v>7</v>
      </c>
      <c r="B9" s="2" t="s">
        <v>8</v>
      </c>
      <c r="C9" s="2" t="s">
        <v>23</v>
      </c>
      <c r="D9" s="2" t="s">
        <v>24</v>
      </c>
      <c r="E9" s="3" t="n">
        <v>55</v>
      </c>
      <c r="F9" s="4" t="s">
        <v>5</v>
      </c>
      <c r="G9" s="4" t="s">
        <v>6</v>
      </c>
    </row>
    <row r="10" customFormat="false" ht="15" hidden="false" customHeight="false" outlineLevel="0" collapsed="false">
      <c r="A10" s="2" t="s">
        <v>7</v>
      </c>
      <c r="B10" s="2" t="s">
        <v>25</v>
      </c>
      <c r="C10" s="2" t="s">
        <v>26</v>
      </c>
      <c r="D10" s="2" t="s">
        <v>27</v>
      </c>
      <c r="E10" s="3" t="n">
        <v>120</v>
      </c>
      <c r="F10" s="4" t="s">
        <v>5</v>
      </c>
      <c r="G10" s="4" t="s">
        <v>6</v>
      </c>
    </row>
    <row r="11" customFormat="false" ht="15" hidden="false" customHeight="false" outlineLevel="0" collapsed="false">
      <c r="A11" s="2" t="s">
        <v>7</v>
      </c>
      <c r="B11" s="2" t="s">
        <v>25</v>
      </c>
      <c r="C11" s="2" t="s">
        <v>28</v>
      </c>
      <c r="D11" s="2" t="s">
        <v>29</v>
      </c>
      <c r="E11" s="3" t="n">
        <v>30</v>
      </c>
      <c r="F11" s="4" t="s">
        <v>5</v>
      </c>
      <c r="G11" s="4" t="s">
        <v>6</v>
      </c>
    </row>
    <row r="12" customFormat="false" ht="15" hidden="false" customHeight="false" outlineLevel="0" collapsed="false">
      <c r="A12" s="2" t="s">
        <v>7</v>
      </c>
      <c r="B12" s="2" t="s">
        <v>25</v>
      </c>
      <c r="C12" s="2" t="s">
        <v>30</v>
      </c>
      <c r="D12" s="2" t="s">
        <v>31</v>
      </c>
      <c r="E12" s="3" t="n">
        <v>40</v>
      </c>
      <c r="F12" s="4" t="s">
        <v>5</v>
      </c>
      <c r="G12" s="4" t="s">
        <v>6</v>
      </c>
    </row>
    <row r="13" customFormat="false" ht="15" hidden="false" customHeight="false" outlineLevel="0" collapsed="false">
      <c r="A13" s="2" t="s">
        <v>7</v>
      </c>
      <c r="B13" s="2" t="s">
        <v>25</v>
      </c>
      <c r="C13" s="2" t="s">
        <v>32</v>
      </c>
      <c r="D13" s="2" t="s">
        <v>33</v>
      </c>
      <c r="E13" s="3" t="n">
        <v>30</v>
      </c>
      <c r="F13" s="4" t="s">
        <v>5</v>
      </c>
      <c r="G13" s="4" t="s">
        <v>6</v>
      </c>
    </row>
    <row r="14" customFormat="false" ht="15" hidden="false" customHeight="false" outlineLevel="0" collapsed="false">
      <c r="A14" s="2" t="s">
        <v>34</v>
      </c>
      <c r="B14" s="2" t="s">
        <v>8</v>
      </c>
      <c r="C14" s="2" t="s">
        <v>9</v>
      </c>
      <c r="D14" s="2" t="s">
        <v>35</v>
      </c>
      <c r="E14" s="3" t="n">
        <v>450</v>
      </c>
      <c r="F14" s="4" t="s">
        <v>5</v>
      </c>
      <c r="G14" s="4" t="s">
        <v>6</v>
      </c>
    </row>
    <row r="15" customFormat="false" ht="15" hidden="false" customHeight="false" outlineLevel="0" collapsed="false">
      <c r="A15" s="2" t="s">
        <v>34</v>
      </c>
      <c r="B15" s="2" t="s">
        <v>8</v>
      </c>
      <c r="C15" s="2" t="s">
        <v>11</v>
      </c>
      <c r="D15" s="2" t="s">
        <v>36</v>
      </c>
      <c r="E15" s="3" t="n">
        <v>680</v>
      </c>
      <c r="F15" s="4" t="s">
        <v>5</v>
      </c>
      <c r="G15" s="4" t="s">
        <v>6</v>
      </c>
    </row>
    <row r="16" customFormat="false" ht="15" hidden="false" customHeight="false" outlineLevel="0" collapsed="false">
      <c r="A16" s="2" t="s">
        <v>34</v>
      </c>
      <c r="B16" s="2" t="s">
        <v>8</v>
      </c>
      <c r="C16" s="2" t="s">
        <v>13</v>
      </c>
      <c r="D16" s="2" t="s">
        <v>37</v>
      </c>
      <c r="E16" s="3" t="n">
        <v>150</v>
      </c>
      <c r="F16" s="4" t="s">
        <v>5</v>
      </c>
      <c r="G16" s="4" t="s">
        <v>6</v>
      </c>
    </row>
    <row r="17" customFormat="false" ht="15" hidden="false" customHeight="false" outlineLevel="0" collapsed="false">
      <c r="A17" s="2" t="s">
        <v>34</v>
      </c>
      <c r="B17" s="2" t="s">
        <v>8</v>
      </c>
      <c r="C17" s="2" t="s">
        <v>15</v>
      </c>
      <c r="D17" s="2" t="s">
        <v>16</v>
      </c>
      <c r="E17" s="3" t="n">
        <v>180</v>
      </c>
      <c r="F17" s="4" t="s">
        <v>5</v>
      </c>
      <c r="G17" s="4" t="s">
        <v>6</v>
      </c>
    </row>
    <row r="18" customFormat="false" ht="15" hidden="false" customHeight="false" outlineLevel="0" collapsed="false">
      <c r="A18" s="2" t="s">
        <v>34</v>
      </c>
      <c r="B18" s="2" t="s">
        <v>8</v>
      </c>
      <c r="C18" s="2" t="s">
        <v>17</v>
      </c>
      <c r="D18" s="2" t="s">
        <v>38</v>
      </c>
      <c r="E18" s="3" t="n">
        <v>120</v>
      </c>
      <c r="F18" s="4" t="s">
        <v>5</v>
      </c>
      <c r="G18" s="4" t="s">
        <v>6</v>
      </c>
    </row>
    <row r="19" customFormat="false" ht="15" hidden="false" customHeight="false" outlineLevel="0" collapsed="false">
      <c r="A19" s="2" t="s">
        <v>34</v>
      </c>
      <c r="B19" s="2" t="s">
        <v>8</v>
      </c>
      <c r="C19" s="2" t="s">
        <v>19</v>
      </c>
      <c r="D19" s="2" t="s">
        <v>39</v>
      </c>
      <c r="E19" s="3" t="n">
        <v>90</v>
      </c>
      <c r="F19" s="4" t="s">
        <v>5</v>
      </c>
      <c r="G19" s="4" t="s">
        <v>6</v>
      </c>
    </row>
    <row r="20" customFormat="false" ht="15" hidden="false" customHeight="false" outlineLevel="0" collapsed="false">
      <c r="A20" s="2" t="s">
        <v>34</v>
      </c>
      <c r="B20" s="2" t="s">
        <v>8</v>
      </c>
      <c r="C20" s="2" t="s">
        <v>21</v>
      </c>
      <c r="D20" s="2" t="s">
        <v>40</v>
      </c>
      <c r="E20" s="3" t="n">
        <v>45</v>
      </c>
      <c r="F20" s="4" t="s">
        <v>5</v>
      </c>
      <c r="G20" s="4" t="s">
        <v>6</v>
      </c>
    </row>
    <row r="21" customFormat="false" ht="15" hidden="false" customHeight="false" outlineLevel="0" collapsed="false">
      <c r="A21" s="2" t="s">
        <v>34</v>
      </c>
      <c r="B21" s="2" t="s">
        <v>8</v>
      </c>
      <c r="C21" s="2" t="s">
        <v>23</v>
      </c>
      <c r="D21" s="2" t="s">
        <v>41</v>
      </c>
      <c r="E21" s="3" t="n">
        <v>85</v>
      </c>
      <c r="F21" s="4" t="s">
        <v>5</v>
      </c>
      <c r="G21" s="4" t="s">
        <v>6</v>
      </c>
    </row>
    <row r="22" customFormat="false" ht="15" hidden="false" customHeight="false" outlineLevel="0" collapsed="false">
      <c r="A22" s="2" t="s">
        <v>34</v>
      </c>
      <c r="B22" s="2" t="s">
        <v>25</v>
      </c>
      <c r="C22" s="2" t="s">
        <v>26</v>
      </c>
      <c r="D22" s="2" t="s">
        <v>42</v>
      </c>
      <c r="E22" s="3" t="n">
        <v>220</v>
      </c>
      <c r="F22" s="4" t="s">
        <v>5</v>
      </c>
      <c r="G22" s="4" t="s">
        <v>6</v>
      </c>
    </row>
    <row r="23" customFormat="false" ht="15" hidden="false" customHeight="false" outlineLevel="0" collapsed="false">
      <c r="A23" s="2" t="s">
        <v>34</v>
      </c>
      <c r="B23" s="2" t="s">
        <v>25</v>
      </c>
      <c r="C23" s="2" t="s">
        <v>28</v>
      </c>
      <c r="D23" s="2" t="s">
        <v>43</v>
      </c>
      <c r="E23" s="3" t="n">
        <v>60</v>
      </c>
      <c r="F23" s="4" t="s">
        <v>5</v>
      </c>
      <c r="G23" s="4" t="s">
        <v>6</v>
      </c>
    </row>
    <row r="24" customFormat="false" ht="15" hidden="false" customHeight="false" outlineLevel="0" collapsed="false">
      <c r="A24" s="2" t="s">
        <v>34</v>
      </c>
      <c r="B24" s="2" t="s">
        <v>25</v>
      </c>
      <c r="C24" s="2" t="s">
        <v>30</v>
      </c>
      <c r="D24" s="2" t="s">
        <v>44</v>
      </c>
      <c r="E24" s="3" t="n">
        <v>70</v>
      </c>
      <c r="F24" s="4" t="s">
        <v>5</v>
      </c>
      <c r="G24" s="4" t="s">
        <v>6</v>
      </c>
    </row>
    <row r="25" customFormat="false" ht="15" hidden="false" customHeight="false" outlineLevel="0" collapsed="false">
      <c r="A25" s="2" t="s">
        <v>34</v>
      </c>
      <c r="B25" s="2" t="s">
        <v>25</v>
      </c>
      <c r="C25" s="2" t="s">
        <v>32</v>
      </c>
      <c r="D25" s="2" t="s">
        <v>45</v>
      </c>
      <c r="E25" s="3" t="n">
        <v>60</v>
      </c>
      <c r="F25" s="4" t="s">
        <v>5</v>
      </c>
      <c r="G25" s="4" t="s">
        <v>6</v>
      </c>
    </row>
    <row r="26" customFormat="false" ht="15" hidden="false" customHeight="false" outlineLevel="0" collapsed="false">
      <c r="A26" s="2" t="s">
        <v>46</v>
      </c>
      <c r="B26" s="2" t="s">
        <v>8</v>
      </c>
      <c r="C26" s="2" t="s">
        <v>9</v>
      </c>
      <c r="D26" s="2" t="s">
        <v>35</v>
      </c>
      <c r="E26" s="3" t="n">
        <v>450</v>
      </c>
      <c r="F26" s="4" t="s">
        <v>5</v>
      </c>
      <c r="G26" s="4" t="s">
        <v>6</v>
      </c>
    </row>
    <row r="27" customFormat="false" ht="15" hidden="false" customHeight="false" outlineLevel="0" collapsed="false">
      <c r="A27" s="2" t="s">
        <v>46</v>
      </c>
      <c r="B27" s="2" t="s">
        <v>8</v>
      </c>
      <c r="C27" s="2" t="s">
        <v>11</v>
      </c>
      <c r="D27" s="2" t="s">
        <v>47</v>
      </c>
      <c r="E27" s="3" t="n">
        <v>1300</v>
      </c>
      <c r="F27" s="4" t="s">
        <v>5</v>
      </c>
      <c r="G27" s="4" t="s">
        <v>6</v>
      </c>
    </row>
    <row r="28" customFormat="false" ht="15" hidden="false" customHeight="false" outlineLevel="0" collapsed="false">
      <c r="A28" s="2" t="s">
        <v>46</v>
      </c>
      <c r="B28" s="2" t="s">
        <v>8</v>
      </c>
      <c r="C28" s="2" t="s">
        <v>13</v>
      </c>
      <c r="D28" s="2" t="s">
        <v>48</v>
      </c>
      <c r="E28" s="3" t="n">
        <v>250</v>
      </c>
      <c r="F28" s="4" t="s">
        <v>5</v>
      </c>
      <c r="G28" s="4" t="s">
        <v>6</v>
      </c>
    </row>
    <row r="29" customFormat="false" ht="15" hidden="false" customHeight="false" outlineLevel="0" collapsed="false">
      <c r="A29" s="2" t="s">
        <v>46</v>
      </c>
      <c r="B29" s="2" t="s">
        <v>8</v>
      </c>
      <c r="C29" s="2" t="s">
        <v>15</v>
      </c>
      <c r="D29" s="2" t="s">
        <v>49</v>
      </c>
      <c r="E29" s="3" t="n">
        <v>300</v>
      </c>
      <c r="F29" s="4" t="s">
        <v>5</v>
      </c>
      <c r="G29" s="4" t="s">
        <v>6</v>
      </c>
    </row>
    <row r="30" customFormat="false" ht="15" hidden="false" customHeight="false" outlineLevel="0" collapsed="false">
      <c r="A30" s="2" t="s">
        <v>46</v>
      </c>
      <c r="B30" s="2" t="s">
        <v>8</v>
      </c>
      <c r="C30" s="2" t="s">
        <v>17</v>
      </c>
      <c r="D30" s="2" t="s">
        <v>50</v>
      </c>
      <c r="E30" s="3" t="n">
        <v>150</v>
      </c>
      <c r="F30" s="4" t="s">
        <v>5</v>
      </c>
      <c r="G30" s="4" t="s">
        <v>6</v>
      </c>
    </row>
    <row r="31" customFormat="false" ht="15" hidden="false" customHeight="false" outlineLevel="0" collapsed="false">
      <c r="A31" s="2" t="s">
        <v>46</v>
      </c>
      <c r="B31" s="2" t="s">
        <v>8</v>
      </c>
      <c r="C31" s="2" t="s">
        <v>19</v>
      </c>
      <c r="D31" s="2" t="s">
        <v>51</v>
      </c>
      <c r="E31" s="3" t="n">
        <v>140</v>
      </c>
      <c r="F31" s="4" t="s">
        <v>5</v>
      </c>
      <c r="G31" s="4" t="s">
        <v>6</v>
      </c>
    </row>
    <row r="32" customFormat="false" ht="15" hidden="false" customHeight="false" outlineLevel="0" collapsed="false">
      <c r="A32" s="2" t="s">
        <v>46</v>
      </c>
      <c r="B32" s="2" t="s">
        <v>8</v>
      </c>
      <c r="C32" s="2" t="s">
        <v>21</v>
      </c>
      <c r="D32" s="2" t="s">
        <v>52</v>
      </c>
      <c r="E32" s="3" t="n">
        <v>100</v>
      </c>
      <c r="F32" s="4" t="s">
        <v>5</v>
      </c>
      <c r="G32" s="4" t="s">
        <v>6</v>
      </c>
    </row>
    <row r="33" customFormat="false" ht="15" hidden="false" customHeight="false" outlineLevel="0" collapsed="false">
      <c r="A33" s="2" t="s">
        <v>46</v>
      </c>
      <c r="B33" s="2" t="s">
        <v>8</v>
      </c>
      <c r="C33" s="2" t="s">
        <v>23</v>
      </c>
      <c r="D33" s="2" t="s">
        <v>53</v>
      </c>
      <c r="E33" s="3" t="n">
        <v>150</v>
      </c>
      <c r="F33" s="4" t="s">
        <v>5</v>
      </c>
      <c r="G33" s="4" t="s">
        <v>6</v>
      </c>
    </row>
    <row r="34" customFormat="false" ht="15" hidden="false" customHeight="false" outlineLevel="0" collapsed="false">
      <c r="A34" s="2" t="s">
        <v>46</v>
      </c>
      <c r="B34" s="2" t="s">
        <v>25</v>
      </c>
      <c r="C34" s="2" t="s">
        <v>26</v>
      </c>
      <c r="D34" s="2" t="s">
        <v>54</v>
      </c>
      <c r="E34" s="3" t="n">
        <v>550</v>
      </c>
      <c r="F34" s="4" t="s">
        <v>5</v>
      </c>
      <c r="G34" s="4" t="s">
        <v>6</v>
      </c>
    </row>
    <row r="35" customFormat="false" ht="15" hidden="false" customHeight="false" outlineLevel="0" collapsed="false">
      <c r="A35" s="2" t="s">
        <v>46</v>
      </c>
      <c r="B35" s="2" t="s">
        <v>25</v>
      </c>
      <c r="C35" s="2" t="s">
        <v>28</v>
      </c>
      <c r="D35" s="2" t="s">
        <v>55</v>
      </c>
      <c r="E35" s="3" t="n">
        <v>140</v>
      </c>
      <c r="F35" s="4" t="s">
        <v>5</v>
      </c>
      <c r="G35" s="4" t="s">
        <v>6</v>
      </c>
    </row>
    <row r="36" customFormat="false" ht="15" hidden="false" customHeight="false" outlineLevel="0" collapsed="false">
      <c r="A36" s="2" t="s">
        <v>46</v>
      </c>
      <c r="B36" s="2" t="s">
        <v>25</v>
      </c>
      <c r="C36" s="2" t="s">
        <v>30</v>
      </c>
      <c r="D36" s="2" t="s">
        <v>56</v>
      </c>
      <c r="E36" s="3" t="n">
        <v>190</v>
      </c>
      <c r="F36" s="4" t="s">
        <v>5</v>
      </c>
      <c r="G36" s="4" t="s">
        <v>6</v>
      </c>
    </row>
    <row r="37" customFormat="false" ht="15" hidden="false" customHeight="false" outlineLevel="0" collapsed="false">
      <c r="A37" s="2" t="s">
        <v>46</v>
      </c>
      <c r="B37" s="2" t="s">
        <v>25</v>
      </c>
      <c r="C37" s="2" t="s">
        <v>32</v>
      </c>
      <c r="D37" s="2" t="s">
        <v>57</v>
      </c>
      <c r="E37" s="3" t="n">
        <v>120</v>
      </c>
      <c r="F37" s="4" t="s">
        <v>5</v>
      </c>
      <c r="G37" s="4" t="s">
        <v>6</v>
      </c>
    </row>
    <row r="39" customFormat="false" ht="15" hidden="false" customHeight="false" outlineLevel="0" collapsed="false">
      <c r="A39" s="5" t="s">
        <v>58</v>
      </c>
    </row>
    <row r="40" customFormat="false" ht="15" hidden="false" customHeight="false" outlineLevel="0" collapsed="false">
      <c r="A40" s="2" t="s">
        <v>59</v>
      </c>
    </row>
    <row r="41" customFormat="false" ht="15" hidden="false" customHeight="false" outlineLevel="0" collapsed="false">
      <c r="A41" s="2" t="s">
        <v>60</v>
      </c>
    </row>
    <row r="42" customFormat="false" ht="15" hidden="false" customHeight="false" outlineLevel="0" collapsed="false">
      <c r="A42" s="2" t="s">
        <v>61</v>
      </c>
    </row>
  </sheetData>
  <hyperlinks>
    <hyperlink ref="F2" r:id="rId1" display="Geizhals"/>
    <hyperlink ref="G2" r:id="rId2" display="idealo"/>
    <hyperlink ref="F3" r:id="rId3" display="Geizhals"/>
    <hyperlink ref="G3" r:id="rId4" display="idealo"/>
    <hyperlink ref="F4" r:id="rId5" display="Geizhals"/>
    <hyperlink ref="G4" r:id="rId6" display="idealo"/>
    <hyperlink ref="F5" r:id="rId7" display="Geizhals"/>
    <hyperlink ref="G5" r:id="rId8" display="idealo"/>
    <hyperlink ref="F6" r:id="rId9" display="Geizhals"/>
    <hyperlink ref="G6" r:id="rId10" display="idealo"/>
    <hyperlink ref="F7" r:id="rId11" display="Geizhals"/>
    <hyperlink ref="G7" r:id="rId12" display="idealo"/>
    <hyperlink ref="F8" r:id="rId13" display="Geizhals"/>
    <hyperlink ref="G8" r:id="rId14" display="idealo"/>
    <hyperlink ref="F9" r:id="rId15" display="Geizhals"/>
    <hyperlink ref="G9" r:id="rId16" display="idealo"/>
    <hyperlink ref="F10" r:id="rId17" display="Geizhals"/>
    <hyperlink ref="G10" r:id="rId18" display="idealo"/>
    <hyperlink ref="F11" r:id="rId19" display="Geizhals"/>
    <hyperlink ref="G11" r:id="rId20" display="idealo"/>
    <hyperlink ref="F12" r:id="rId21" display="Geizhals"/>
    <hyperlink ref="G12" r:id="rId22" display="idealo"/>
    <hyperlink ref="F13" r:id="rId23" display="Geizhals"/>
    <hyperlink ref="G13" r:id="rId24" display="idealo"/>
    <hyperlink ref="F14" r:id="rId25" display="Geizhals"/>
    <hyperlink ref="G14" r:id="rId26" display="idealo"/>
    <hyperlink ref="F15" r:id="rId27" display="Geizhals"/>
    <hyperlink ref="G15" r:id="rId28" display="idealo"/>
    <hyperlink ref="F16" r:id="rId29" display="Geizhals"/>
    <hyperlink ref="G16" r:id="rId30" display="idealo"/>
    <hyperlink ref="F17" r:id="rId31" display="Geizhals"/>
    <hyperlink ref="G17" r:id="rId32" display="idealo"/>
    <hyperlink ref="F18" r:id="rId33" display="Geizhals"/>
    <hyperlink ref="G18" r:id="rId34" display="idealo"/>
    <hyperlink ref="F19" r:id="rId35" display="Geizhals"/>
    <hyperlink ref="G19" r:id="rId36" display="idealo"/>
    <hyperlink ref="F20" r:id="rId37" display="Geizhals"/>
    <hyperlink ref="G20" r:id="rId38" display="idealo"/>
    <hyperlink ref="F21" r:id="rId39" display="Geizhals"/>
    <hyperlink ref="G21" r:id="rId40" display="idealo"/>
    <hyperlink ref="F22" r:id="rId41" display="Geizhals"/>
    <hyperlink ref="G22" r:id="rId42" display="idealo"/>
    <hyperlink ref="F23" r:id="rId43" display="Geizhals"/>
    <hyperlink ref="G23" r:id="rId44" display="idealo"/>
    <hyperlink ref="F24" r:id="rId45" display="Geizhals"/>
    <hyperlink ref="G24" r:id="rId46" display="idealo"/>
    <hyperlink ref="F25" r:id="rId47" display="Geizhals"/>
    <hyperlink ref="G25" r:id="rId48" display="idealo"/>
    <hyperlink ref="F26" r:id="rId49" display="Geizhals"/>
    <hyperlink ref="G26" r:id="rId50" display="idealo"/>
    <hyperlink ref="F27" r:id="rId51" display="Geizhals"/>
    <hyperlink ref="G27" r:id="rId52" display="idealo"/>
    <hyperlink ref="F28" r:id="rId53" display="Geizhals"/>
    <hyperlink ref="G28" r:id="rId54" display="idealo"/>
    <hyperlink ref="F29" r:id="rId55" display="Geizhals"/>
    <hyperlink ref="G29" r:id="rId56" display="idealo"/>
    <hyperlink ref="F30" r:id="rId57" display="Geizhals"/>
    <hyperlink ref="G30" r:id="rId58" display="idealo"/>
    <hyperlink ref="F31" r:id="rId59" display="Geizhals"/>
    <hyperlink ref="G31" r:id="rId60" display="idealo"/>
    <hyperlink ref="F32" r:id="rId61" display="Geizhals"/>
    <hyperlink ref="G32" r:id="rId62" display="idealo"/>
    <hyperlink ref="F33" r:id="rId63" display="Geizhals"/>
    <hyperlink ref="G33" r:id="rId64" display="idealo"/>
    <hyperlink ref="F34" r:id="rId65" display="Geizhals"/>
    <hyperlink ref="G34" r:id="rId66" display="idealo"/>
    <hyperlink ref="F35" r:id="rId67" display="Geizhals"/>
    <hyperlink ref="G35" r:id="rId68" display="idealo"/>
    <hyperlink ref="F36" r:id="rId69" display="Geizhals"/>
    <hyperlink ref="G36" r:id="rId70" display="idealo"/>
    <hyperlink ref="F37" r:id="rId71" display="Geizhals"/>
    <hyperlink ref="G37" r:id="rId72" display="idealo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4"/>
    <col collapsed="false" customWidth="true" hidden="false" outlineLevel="0" max="3" min="3" style="0" width="16"/>
    <col collapsed="false" customWidth="true" hidden="false" outlineLevel="0" max="4" min="4" style="0" width="14"/>
  </cols>
  <sheetData>
    <row r="1" customFormat="false" ht="15" hidden="false" customHeight="false" outlineLevel="0" collapsed="false">
      <c r="A1" s="1" t="s">
        <v>0</v>
      </c>
      <c r="B1" s="1" t="s">
        <v>62</v>
      </c>
      <c r="C1" s="1" t="s">
        <v>63</v>
      </c>
      <c r="D1" s="1" t="s">
        <v>64</v>
      </c>
    </row>
    <row r="2" customFormat="false" ht="15" hidden="false" customHeight="false" outlineLevel="0" collapsed="false">
      <c r="A2" s="2" t="s">
        <v>7</v>
      </c>
      <c r="B2" s="6" t="n">
        <f aca="false">SUMIFS(Konfigurationen!$E$2:$E$37,Konfigurationen!$A$2:$A$37,$A2,Konfigurationen!$B$2:$B$37,"PC")</f>
        <v>1050</v>
      </c>
      <c r="C2" s="6" t="n">
        <f aca="false">SUMIFS(Konfigurationen!$E$2:$E$37,Konfigurationen!$A$2:$A$37,$A2,Konfigurationen!$B$2:$B$37,"Peripherie")</f>
        <v>220</v>
      </c>
      <c r="D2" s="6" t="n">
        <f aca="false">B2+C2</f>
        <v>1270</v>
      </c>
    </row>
    <row r="3" customFormat="false" ht="15" hidden="false" customHeight="false" outlineLevel="0" collapsed="false">
      <c r="A3" s="2" t="s">
        <v>34</v>
      </c>
      <c r="B3" s="6" t="n">
        <f aca="false">SUMIFS(Konfigurationen!$E$2:$E$37,Konfigurationen!$A$2:$A$37,$A3,Konfigurationen!$B$2:$B$37,"PC")</f>
        <v>1800</v>
      </c>
      <c r="C3" s="6" t="n">
        <f aca="false">SUMIFS(Konfigurationen!$E$2:$E$37,Konfigurationen!$A$2:$A$37,$A3,Konfigurationen!$B$2:$B$37,"Peripherie")</f>
        <v>410</v>
      </c>
      <c r="D3" s="6" t="n">
        <f aca="false">B3+C3</f>
        <v>2210</v>
      </c>
    </row>
    <row r="4" customFormat="false" ht="15" hidden="false" customHeight="false" outlineLevel="0" collapsed="false">
      <c r="A4" s="2" t="s">
        <v>46</v>
      </c>
      <c r="B4" s="6" t="n">
        <f aca="false">SUMIFS(Konfigurationen!$E$2:$E$37,Konfigurationen!$A$2:$A$37,$A4,Konfigurationen!$B$2:$B$37,"PC")</f>
        <v>2840</v>
      </c>
      <c r="C4" s="6" t="n">
        <f aca="false">SUMIFS(Konfigurationen!$E$2:$E$37,Konfigurationen!$A$2:$A$37,$A4,Konfigurationen!$B$2:$B$37,"Peripherie")</f>
        <v>1000</v>
      </c>
      <c r="D4" s="6" t="n">
        <f aca="false">B4+C4</f>
        <v>3840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8"/>
    <col collapsed="false" customWidth="true" hidden="false" outlineLevel="0" max="3" min="3" style="0" width="20"/>
    <col collapsed="false" customWidth="true" hidden="false" outlineLevel="0" max="5" min="4" style="0" width="14"/>
    <col collapsed="false" customWidth="true" hidden="false" outlineLevel="0" max="6" min="6" style="0" width="90"/>
  </cols>
  <sheetData>
    <row r="1" customFormat="false" ht="15" hidden="false" customHeight="false" outlineLevel="0" collapsed="false">
      <c r="A1" s="1" t="s">
        <v>0</v>
      </c>
      <c r="B1" s="1" t="s">
        <v>65</v>
      </c>
      <c r="C1" s="1" t="s">
        <v>66</v>
      </c>
      <c r="D1" s="1" t="s">
        <v>67</v>
      </c>
      <c r="E1" s="1" t="s">
        <v>68</v>
      </c>
      <c r="F1" s="1" t="s">
        <v>69</v>
      </c>
    </row>
    <row r="2" customFormat="false" ht="15" hidden="false" customHeight="false" outlineLevel="0" collapsed="false">
      <c r="A2" s="2" t="s">
        <v>7</v>
      </c>
      <c r="B2" s="6" t="n">
        <f aca="false">Zusammenfassung!B2</f>
        <v>1050</v>
      </c>
      <c r="C2" s="3"/>
      <c r="D2" s="6" t="str">
        <f aca="false">IF(ISNUMBER(C2),B2-C2,"")</f>
        <v/>
      </c>
      <c r="E2" s="7" t="str">
        <f aca="false">IF(ISNUMBER(C2),(B2-C2)/C2,"")</f>
        <v/>
      </c>
      <c r="F2" s="2" t="s">
        <v>70</v>
      </c>
    </row>
    <row r="3" customFormat="false" ht="15" hidden="false" customHeight="false" outlineLevel="0" collapsed="false">
      <c r="A3" s="2" t="s">
        <v>34</v>
      </c>
      <c r="B3" s="6" t="n">
        <f aca="false">Zusammenfassung!B3</f>
        <v>1800</v>
      </c>
      <c r="C3" s="3" t="n">
        <v>1749</v>
      </c>
      <c r="D3" s="6" t="n">
        <f aca="false">IF(ISNUMBER(C3),B3-C3,"")</f>
        <v>51</v>
      </c>
      <c r="E3" s="7" t="n">
        <f aca="false">IF(ISNUMBER(C3),(B3-C3)/C3,"")</f>
        <v>0.0291595197255575</v>
      </c>
      <c r="F3" s="2" t="s">
        <v>71</v>
      </c>
    </row>
    <row r="4" customFormat="false" ht="15" hidden="false" customHeight="false" outlineLevel="0" collapsed="false">
      <c r="A4" s="2" t="s">
        <v>46</v>
      </c>
      <c r="B4" s="6" t="n">
        <f aca="false">Zusammenfassung!B4</f>
        <v>2840</v>
      </c>
      <c r="C4" s="3" t="n">
        <v>2649</v>
      </c>
      <c r="D4" s="6" t="n">
        <f aca="false">IF(ISNUMBER(C4),B4-C4,"")</f>
        <v>191</v>
      </c>
      <c r="E4" s="7" t="n">
        <f aca="false">IF(ISNUMBER(C4),(B4-C4)/C4,"")</f>
        <v>0.0721026802567006</v>
      </c>
      <c r="F4" s="2" t="s">
        <v>72</v>
      </c>
    </row>
    <row r="6" customFormat="false" ht="15" hidden="false" customHeight="false" outlineLevel="0" collapsed="false">
      <c r="A6" s="2" t="s">
        <v>73</v>
      </c>
    </row>
    <row r="7" customFormat="false" ht="15" hidden="false" customHeight="false" outlineLevel="0" collapsed="false">
      <c r="A7" s="2" t="s">
        <v>74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2026-10-11T07:43:03Z</dcterms:created>
  <dc:creator>openpyxl</dc:creator>
  <dc:description/>
  <dc:language>en-US</dc:language>
  <cp:lastModifiedBy/>
  <dcterms:modified xsi:type="dcterms:W3CDTF">2026-10-11T07:43:03Z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